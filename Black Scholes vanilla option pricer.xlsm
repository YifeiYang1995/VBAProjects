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/>
  </bookViews>
  <sheets>
    <sheet name="Sheet1" sheetId="1" r:id="rId1"/>
  </sheets>
  <functionGroups builtInGroupCount="18"/>
  <definedNames>
    <definedName name="CallPut">Sheet1!$C$8</definedName>
    <definedName name="CallPutLables">Sheet1!$B$17:$B$18</definedName>
    <definedName name="delta">Sheet1!$F$17</definedName>
    <definedName name="Dividend_yield">Sheet1!$C$13</definedName>
    <definedName name="Expiry">Sheet1!$C$7</definedName>
    <definedName name="Expiry_Date">Sheet1!$C$7</definedName>
    <definedName name="gamma">Sheet1!$F$18</definedName>
    <definedName name="gh">Sheet1!$E$6:$F$13</definedName>
    <definedName name="Interest_rate">Sheet1!$C$11</definedName>
    <definedName name="interestrate">Sheet1!$C$11</definedName>
    <definedName name="jk">Sheet1!$C$5</definedName>
    <definedName name="Notiona">Sheet1!$C$5</definedName>
    <definedName name="Notional">Sheet1!$C$5</definedName>
    <definedName name="Price">Sheet1!$F$16</definedName>
    <definedName name="sd">Sheet1!$B$5:$C$8</definedName>
    <definedName name="Spot">Sheet1!$C$12</definedName>
    <definedName name="Strike">Sheet1!$C$6</definedName>
    <definedName name="Strike_USD">Sheet1!$C$6</definedName>
    <definedName name="vega">Sheet1!$F$19</definedName>
    <definedName name="Volatility">Sheet1!$C$14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5" i="1" l="1"/>
  <c r="F5" i="1" l="1"/>
  <c r="F6" i="1"/>
  <c r="F7" i="1" s="1"/>
  <c r="F11" i="1" s="1"/>
  <c r="F13" i="1" l="1"/>
  <c r="F10" i="1"/>
  <c r="F12" i="1" s="1"/>
  <c r="F8" i="1"/>
</calcChain>
</file>

<file path=xl/sharedStrings.xml><?xml version="1.0" encoding="utf-8"?>
<sst xmlns="http://schemas.openxmlformats.org/spreadsheetml/2006/main" count="30" uniqueCount="29">
  <si>
    <t>T</t>
  </si>
  <si>
    <t>F</t>
  </si>
  <si>
    <t>Df</t>
  </si>
  <si>
    <t>volsqrtT</t>
  </si>
  <si>
    <t>Black Scholes vanilla option pricer</t>
  </si>
  <si>
    <t>Trade Data</t>
  </si>
  <si>
    <t>Notional</t>
  </si>
  <si>
    <t>Strike(USD)</t>
  </si>
  <si>
    <t>Expiry Date</t>
  </si>
  <si>
    <t>CallPut</t>
  </si>
  <si>
    <t>Market Data</t>
  </si>
  <si>
    <t>Intermediate Calculations</t>
  </si>
  <si>
    <t>Option Price</t>
  </si>
  <si>
    <t>Volatility</t>
  </si>
  <si>
    <t>NPV(USD)</t>
  </si>
  <si>
    <t>d1</t>
  </si>
  <si>
    <t>d2</t>
  </si>
  <si>
    <t>Nd1</t>
  </si>
  <si>
    <t>Nd2</t>
  </si>
  <si>
    <t>CallPutLables</t>
  </si>
  <si>
    <t>Call</t>
  </si>
  <si>
    <t>Put</t>
  </si>
  <si>
    <t>Call/Put</t>
  </si>
  <si>
    <t>Spot</t>
  </si>
  <si>
    <t>Interest rate</t>
  </si>
  <si>
    <t>Dividend yield</t>
  </si>
  <si>
    <t>delta</t>
  </si>
  <si>
    <t>gamma</t>
  </si>
  <si>
    <t>vega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</si>
</sst>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2" borderId="1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0" borderId="0" xfId="0" applyFont="1"/>
    <xf numFmtId="0" fontId="0" fillId="3" borderId="0" xfId="0" applyFill="1"/>
    <xf numFmtId="0" fontId="2" fillId="3" borderId="0" xfId="0" applyFont="1" applyFill="1"/>
    <xf numFmtId="0" fontId="3" fillId="3" borderId="0" xfId="0" applyFont="1" applyFill="1"/>
    <xf numFmtId="0" fontId="1" fillId="3" borderId="0" xfId="0" applyFont="1" applyFill="1"/>
    <xf numFmtId="0" fontId="0" fillId="3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1" xfId="0" applyFont="1" applyFill="1" applyBorder="1"/>
    <xf numFmtId="0" fontId="0" fillId="2" borderId="3" xfId="0" applyFont="1" applyFill="1" applyBorder="1"/>
    <xf numFmtId="0" fontId="0" fillId="2" borderId="5" xfId="0" applyFont="1" applyFill="1" applyBorder="1"/>
    <xf numFmtId="0" fontId="0" fillId="4" borderId="5" xfId="0" applyFont="1" applyFill="1" applyBorder="1"/>
    <xf numFmtId="0" fontId="0" fillId="5" borderId="7" xfId="0" applyFill="1" applyBorder="1"/>
    <xf numFmtId="0" fontId="0" fillId="5" borderId="8" xfId="0" applyFill="1" applyBorder="1"/>
    <xf numFmtId="3" fontId="0" fillId="2" borderId="2" xfId="0" applyNumberFormat="1" applyFill="1" applyBorder="1"/>
    <xf numFmtId="10" fontId="0" fillId="2" borderId="2" xfId="0" applyNumberFormat="1" applyFill="1" applyBorder="1"/>
    <xf numFmtId="10" fontId="0" fillId="2" borderId="4" xfId="0" applyNumberFormat="1" applyFill="1" applyBorder="1"/>
    <xf numFmtId="10" fontId="0" fillId="2" borderId="6" xfId="0" applyNumberFormat="1" applyFill="1" applyBorder="1"/>
    <xf numFmtId="0" fontId="0" fillId="4" borderId="6" xfId="0" applyFont="1" applyFill="1" applyBorder="1"/>
    <xf numFmtId="0" fontId="0" fillId="4" borderId="3" xfId="0" applyFont="1" applyFill="1" applyBorder="1"/>
    <xf numFmtId="0" fontId="0" fillId="4" borderId="4" xfId="0" applyNumberFormat="1" applyFont="1" applyFill="1" applyBorder="1"/>
    <xf numFmtId="0" fontId="0" fillId="4" borderId="4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2" borderId="4" xfId="0" applyNumberFormat="1" applyFill="1" applyBorder="1"/>
    <xf numFmtId="0" fontId="5" fillId="3" borderId="0" xfId="0" applyFont="1" applyFill="1"/>
    <xf numFmtId="0" fontId="1" fillId="6" borderId="6" xfId="0" applyFont="1" applyFill="1" applyBorder="1"/>
    <xf numFmtId="14" fontId="0" fillId="3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GBox" noThreeD="1"/>
</file>

<file path=xl/ctrlProps/ctrlProp12.xml><?xml version="1.0" encoding="utf-8"?>
<formControlPr xmlns="http://schemas.microsoft.com/office/spreadsheetml/2009/9/main" objectType="Radio" firstButton="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14</xdr:row>
          <xdr:rowOff>9525</xdr:rowOff>
        </xdr:from>
        <xdr:to>
          <xdr:col>9</xdr:col>
          <xdr:colOff>381000</xdr:colOff>
          <xdr:row>15</xdr:row>
          <xdr:rowOff>28575</xdr:rowOff>
        </xdr:to>
        <xdr:sp macro="" textlink="">
          <xdr:nvSpPr>
            <xdr:cNvPr id="1029" name="PriceNeeded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15</xdr:row>
          <xdr:rowOff>152400</xdr:rowOff>
        </xdr:from>
        <xdr:to>
          <xdr:col>9</xdr:col>
          <xdr:colOff>381000</xdr:colOff>
          <xdr:row>16</xdr:row>
          <xdr:rowOff>171450</xdr:rowOff>
        </xdr:to>
        <xdr:sp macro="" textlink="">
          <xdr:nvSpPr>
            <xdr:cNvPr id="1031" name="DeltaNeeded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17</xdr:row>
          <xdr:rowOff>152400</xdr:rowOff>
        </xdr:from>
        <xdr:to>
          <xdr:col>9</xdr:col>
          <xdr:colOff>381000</xdr:colOff>
          <xdr:row>18</xdr:row>
          <xdr:rowOff>171450</xdr:rowOff>
        </xdr:to>
        <xdr:sp macro="" textlink="">
          <xdr:nvSpPr>
            <xdr:cNvPr id="1033" name="GammaNeeded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12</xdr:row>
          <xdr:rowOff>57150</xdr:rowOff>
        </xdr:from>
        <xdr:to>
          <xdr:col>12</xdr:col>
          <xdr:colOff>419100</xdr:colOff>
          <xdr:row>24</xdr:row>
          <xdr:rowOff>0</xdr:rowOff>
        </xdr:to>
        <xdr:sp macro="" textlink="">
          <xdr:nvSpPr>
            <xdr:cNvPr id="1034" name="Group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Greeks to be computed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19</xdr:row>
          <xdr:rowOff>133350</xdr:rowOff>
        </xdr:from>
        <xdr:to>
          <xdr:col>9</xdr:col>
          <xdr:colOff>381000</xdr:colOff>
          <xdr:row>20</xdr:row>
          <xdr:rowOff>152400</xdr:rowOff>
        </xdr:to>
        <xdr:sp macro="" textlink="">
          <xdr:nvSpPr>
            <xdr:cNvPr id="1036" name="VegaNeeded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Vega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21</xdr:row>
          <xdr:rowOff>142875</xdr:rowOff>
        </xdr:from>
        <xdr:to>
          <xdr:col>9</xdr:col>
          <xdr:colOff>381000</xdr:colOff>
          <xdr:row>22</xdr:row>
          <xdr:rowOff>161925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14</xdr:row>
          <xdr:rowOff>19050</xdr:rowOff>
        </xdr:from>
        <xdr:to>
          <xdr:col>12</xdr:col>
          <xdr:colOff>47625</xdr:colOff>
          <xdr:row>15</xdr:row>
          <xdr:rowOff>38100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Rho_Dom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457200</xdr:colOff>
          <xdr:row>15</xdr:row>
          <xdr:rowOff>161925</xdr:rowOff>
        </xdr:from>
        <xdr:to>
          <xdr:col>12</xdr:col>
          <xdr:colOff>47625</xdr:colOff>
          <xdr:row>16</xdr:row>
          <xdr:rowOff>180975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Rho_For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17</xdr:row>
          <xdr:rowOff>180975</xdr:rowOff>
        </xdr:from>
        <xdr:to>
          <xdr:col>12</xdr:col>
          <xdr:colOff>57150</xdr:colOff>
          <xdr:row>19</xdr:row>
          <xdr:rowOff>9525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VolGamma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466725</xdr:colOff>
          <xdr:row>19</xdr:row>
          <xdr:rowOff>161925</xdr:rowOff>
        </xdr:from>
        <xdr:to>
          <xdr:col>12</xdr:col>
          <xdr:colOff>57150</xdr:colOff>
          <xdr:row>20</xdr:row>
          <xdr:rowOff>180975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Vanna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14</xdr:row>
          <xdr:rowOff>28575</xdr:rowOff>
        </xdr:from>
        <xdr:to>
          <xdr:col>18</xdr:col>
          <xdr:colOff>400050</xdr:colOff>
          <xdr:row>19</xdr:row>
          <xdr:rowOff>171450</xdr:rowOff>
        </xdr:to>
        <xdr:sp macro="" textlink="">
          <xdr:nvSpPr>
            <xdr:cNvPr id="1047" name="NumericalDerivativesSelected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Greek computation method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314325</xdr:colOff>
          <xdr:row>15</xdr:row>
          <xdr:rowOff>76200</xdr:rowOff>
        </xdr:from>
        <xdr:to>
          <xdr:col>18</xdr:col>
          <xdr:colOff>76200</xdr:colOff>
          <xdr:row>16</xdr:row>
          <xdr:rowOff>95250</xdr:rowOff>
        </xdr:to>
        <xdr:sp macro="" textlink="">
          <xdr:nvSpPr>
            <xdr:cNvPr id="1049" name="Option 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Analytic derivative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17</xdr:row>
          <xdr:rowOff>114300</xdr:rowOff>
        </xdr:from>
        <xdr:to>
          <xdr:col>18</xdr:col>
          <xdr:colOff>85725</xdr:colOff>
          <xdr:row>18</xdr:row>
          <xdr:rowOff>133350</xdr:rowOff>
        </xdr:to>
        <xdr:sp macro="" textlink="">
          <xdr:nvSpPr>
            <xdr:cNvPr id="1050" name="Option Button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Numeric derivative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</xdr:row>
          <xdr:rowOff>57150</xdr:rowOff>
        </xdr:from>
        <xdr:to>
          <xdr:col>11</xdr:col>
          <xdr:colOff>85725</xdr:colOff>
          <xdr:row>5</xdr:row>
          <xdr:rowOff>104775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36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8"/>
  <sheetViews>
    <sheetView tabSelected="1" workbookViewId="0">
      <selection activeCell="G7" sqref="G7"/>
    </sheetView>
  </sheetViews>
  <sheetFormatPr defaultRowHeight="15" x14ac:dyDescent="0.25"/>
  <cols>
    <col min="1" max="1" width="9.140625" style="5"/>
    <col min="2" max="2" width="14" bestFit="1" customWidth="1"/>
    <col min="3" max="3" width="15.85546875" bestFit="1" customWidth="1"/>
    <col min="6" max="6" width="12" bestFit="1" customWidth="1"/>
    <col min="7" max="7" width="17" customWidth="1"/>
    <col min="16" max="16" width="10.7109375" bestFit="1" customWidth="1"/>
    <col min="18" max="18" width="10.7109375" bestFit="1" customWidth="1"/>
  </cols>
  <sheetData>
    <row r="1" spans="1:18" s="6" customFormat="1" x14ac:dyDescent="0.25">
      <c r="A1" s="30"/>
    </row>
    <row r="2" spans="1:18" s="7" customFormat="1" ht="28.5" x14ac:dyDescent="0.45">
      <c r="A2" s="10"/>
      <c r="B2" s="8" t="s">
        <v>4</v>
      </c>
    </row>
    <row r="3" spans="1:18" s="6" customFormat="1" x14ac:dyDescent="0.25">
      <c r="A3" s="10"/>
    </row>
    <row r="4" spans="1:18" s="6" customFormat="1" x14ac:dyDescent="0.25">
      <c r="A4" s="10"/>
      <c r="B4" s="9" t="s">
        <v>5</v>
      </c>
      <c r="E4" s="9" t="s">
        <v>11</v>
      </c>
    </row>
    <row r="5" spans="1:18" s="6" customFormat="1" x14ac:dyDescent="0.25">
      <c r="A5" s="10"/>
      <c r="B5" s="1" t="s">
        <v>6</v>
      </c>
      <c r="C5" s="19">
        <v>10000</v>
      </c>
      <c r="E5" s="11" t="s">
        <v>9</v>
      </c>
      <c r="F5" s="12">
        <f>IF(CallPut="Call",1,-1)</f>
        <v>-1</v>
      </c>
      <c r="P5" s="32">
        <v>44169</v>
      </c>
      <c r="R5" s="32">
        <f ca="1">P5-TODAY()</f>
        <v>653</v>
      </c>
    </row>
    <row r="6" spans="1:18" s="6" customFormat="1" x14ac:dyDescent="0.25">
      <c r="A6" s="10"/>
      <c r="B6" s="2" t="s">
        <v>7</v>
      </c>
      <c r="C6" s="3">
        <v>1.56</v>
      </c>
      <c r="E6" s="24" t="s">
        <v>0</v>
      </c>
      <c r="F6" s="25">
        <f ca="1">(C7-TODAY())/365</f>
        <v>-119.21917808219177</v>
      </c>
    </row>
    <row r="7" spans="1:18" s="6" customFormat="1" x14ac:dyDescent="0.25">
      <c r="A7" s="10"/>
      <c r="B7" s="2" t="s">
        <v>8</v>
      </c>
      <c r="C7" s="29">
        <v>1</v>
      </c>
      <c r="E7" s="24" t="s">
        <v>1</v>
      </c>
      <c r="F7" s="26">
        <f ca="1">C12*EXP((C11-C13)*F6)</f>
        <v>0.45533281188852037</v>
      </c>
    </row>
    <row r="8" spans="1:18" s="6" customFormat="1" x14ac:dyDescent="0.25">
      <c r="A8" s="10"/>
      <c r="B8" s="4" t="s">
        <v>22</v>
      </c>
      <c r="C8" s="31" t="s">
        <v>21</v>
      </c>
      <c r="E8" s="24" t="s">
        <v>2</v>
      </c>
      <c r="F8" s="26">
        <f ca="1">EXP(-C11*F6)</f>
        <v>10.852370784959515</v>
      </c>
    </row>
    <row r="9" spans="1:18" s="6" customFormat="1" x14ac:dyDescent="0.25">
      <c r="A9" s="10"/>
      <c r="E9" s="24" t="s">
        <v>3</v>
      </c>
      <c r="F9" s="26">
        <v>0.24</v>
      </c>
    </row>
    <row r="10" spans="1:18" s="6" customFormat="1" x14ac:dyDescent="0.25">
      <c r="A10" s="10"/>
      <c r="B10" s="9" t="s">
        <v>10</v>
      </c>
      <c r="E10" s="24" t="s">
        <v>15</v>
      </c>
      <c r="F10" s="25">
        <f ca="1">LN(F7/C6)/(F9)+0.5*F9</f>
        <v>-5.0108853915633302</v>
      </c>
    </row>
    <row r="11" spans="1:18" s="6" customFormat="1" x14ac:dyDescent="0.25">
      <c r="A11" s="10"/>
      <c r="B11" s="13" t="s">
        <v>24</v>
      </c>
      <c r="C11" s="20">
        <v>0.02</v>
      </c>
      <c r="E11" s="24" t="s">
        <v>16</v>
      </c>
      <c r="F11" s="25">
        <f ca="1">LN(F7/C6)/(F9)-0.5*F9</f>
        <v>-5.2508853915633305</v>
      </c>
    </row>
    <row r="12" spans="1:18" s="6" customFormat="1" x14ac:dyDescent="0.25">
      <c r="A12" s="10"/>
      <c r="B12" s="14" t="s">
        <v>23</v>
      </c>
      <c r="C12" s="3">
        <v>1.5</v>
      </c>
      <c r="E12" s="24" t="s">
        <v>17</v>
      </c>
      <c r="F12" s="26">
        <f ca="1">NORMSDIST(F5*F10)</f>
        <v>0.99999972909911783</v>
      </c>
    </row>
    <row r="13" spans="1:18" s="6" customFormat="1" x14ac:dyDescent="0.25">
      <c r="A13" s="10"/>
      <c r="B13" s="14" t="s">
        <v>25</v>
      </c>
      <c r="C13" s="21">
        <v>0.01</v>
      </c>
      <c r="E13" s="16" t="s">
        <v>18</v>
      </c>
      <c r="F13" s="23">
        <f ca="1">NORMSDIST(F5*F11)</f>
        <v>0.99999992431507789</v>
      </c>
    </row>
    <row r="14" spans="1:18" s="6" customFormat="1" x14ac:dyDescent="0.25">
      <c r="A14" s="10"/>
      <c r="B14" s="15" t="s">
        <v>13</v>
      </c>
      <c r="C14" s="22">
        <v>0.25</v>
      </c>
    </row>
    <row r="15" spans="1:18" s="6" customFormat="1" x14ac:dyDescent="0.25">
      <c r="A15" s="10"/>
      <c r="E15" s="9" t="s">
        <v>12</v>
      </c>
    </row>
    <row r="16" spans="1:18" s="6" customFormat="1" x14ac:dyDescent="0.25">
      <c r="A16" s="10"/>
      <c r="B16" s="9" t="s">
        <v>19</v>
      </c>
      <c r="E16" s="17" t="s">
        <v>14</v>
      </c>
      <c r="F16" s="18">
        <v>1729.5528883187515</v>
      </c>
    </row>
    <row r="17" spans="1:6" s="6" customFormat="1" x14ac:dyDescent="0.25">
      <c r="B17" s="27" t="s">
        <v>20</v>
      </c>
      <c r="E17" s="6" t="s">
        <v>26</v>
      </c>
      <c r="F17" s="6">
        <v>4918.189001497205</v>
      </c>
    </row>
    <row r="18" spans="1:6" s="6" customFormat="1" x14ac:dyDescent="0.25">
      <c r="B18" s="28" t="s">
        <v>21</v>
      </c>
      <c r="E18" s="6" t="s">
        <v>27</v>
      </c>
    </row>
    <row r="19" spans="1:6" s="6" customFormat="1" x14ac:dyDescent="0.25">
      <c r="E19" s="6" t="s">
        <v>28</v>
      </c>
      <c r="F19" s="6">
        <v>0.73772835022458083</v>
      </c>
    </row>
    <row r="20" spans="1:6" s="6" customFormat="1" x14ac:dyDescent="0.25"/>
    <row r="21" spans="1:6" s="6" customFormat="1" x14ac:dyDescent="0.25"/>
    <row r="22" spans="1:6" s="6" customFormat="1" x14ac:dyDescent="0.25">
      <c r="A22" s="10"/>
    </row>
    <row r="23" spans="1:6" s="6" customFormat="1" x14ac:dyDescent="0.25">
      <c r="A23" s="10"/>
    </row>
    <row r="24" spans="1:6" s="6" customFormat="1" x14ac:dyDescent="0.25">
      <c r="A24" s="10"/>
    </row>
    <row r="25" spans="1:6" s="6" customFormat="1" x14ac:dyDescent="0.25">
      <c r="A25" s="10"/>
    </row>
    <row r="26" spans="1:6" s="6" customFormat="1" x14ac:dyDescent="0.25">
      <c r="A26" s="10"/>
    </row>
    <row r="27" spans="1:6" s="6" customFormat="1" x14ac:dyDescent="0.25"/>
    <row r="28" spans="1:6" s="6" customFormat="1" x14ac:dyDescent="0.25"/>
  </sheetData>
  <dataValidations count="1">
    <dataValidation type="custom" allowBlank="1" showInputMessage="1" showErrorMessage="1" sqref="C6">
      <formula1>C6&gt;0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PriceNeeded">
              <controlPr defaultSize="0" autoFill="0" autoLine="0" autoPict="0">
                <anchor moveWithCells="1">
                  <from>
                    <xdr:col>8</xdr:col>
                    <xdr:colOff>180975</xdr:colOff>
                    <xdr:row>14</xdr:row>
                    <xdr:rowOff>9525</xdr:rowOff>
                  </from>
                  <to>
                    <xdr:col>9</xdr:col>
                    <xdr:colOff>381000</xdr:colOff>
                    <xdr:row>15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DeltaNeeded">
              <controlPr defaultSize="0" autoFill="0" autoLine="0" autoPict="0">
                <anchor moveWithCells="1">
                  <from>
                    <xdr:col>8</xdr:col>
                    <xdr:colOff>180975</xdr:colOff>
                    <xdr:row>15</xdr:row>
                    <xdr:rowOff>152400</xdr:rowOff>
                  </from>
                  <to>
                    <xdr:col>9</xdr:col>
                    <xdr:colOff>381000</xdr:colOff>
                    <xdr:row>16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GammaNeeded">
              <controlPr defaultSize="0" autoFill="0" autoLine="0" autoPict="0">
                <anchor moveWithCells="1">
                  <from>
                    <xdr:col>8</xdr:col>
                    <xdr:colOff>180975</xdr:colOff>
                    <xdr:row>17</xdr:row>
                    <xdr:rowOff>152400</xdr:rowOff>
                  </from>
                  <to>
                    <xdr:col>9</xdr:col>
                    <xdr:colOff>381000</xdr:colOff>
                    <xdr:row>18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Group Box 10">
              <controlPr defaultSize="0" autoFill="0" autoPict="0">
                <anchor moveWithCells="1">
                  <from>
                    <xdr:col>8</xdr:col>
                    <xdr:colOff>19050</xdr:colOff>
                    <xdr:row>12</xdr:row>
                    <xdr:rowOff>57150</xdr:rowOff>
                  </from>
                  <to>
                    <xdr:col>12</xdr:col>
                    <xdr:colOff>419100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8" name="VegaNeeded">
              <controlPr defaultSize="0" autoFill="0" autoLine="0" autoPict="0">
                <anchor moveWithCells="1">
                  <from>
                    <xdr:col>8</xdr:col>
                    <xdr:colOff>180975</xdr:colOff>
                    <xdr:row>19</xdr:row>
                    <xdr:rowOff>133350</xdr:rowOff>
                  </from>
                  <to>
                    <xdr:col>9</xdr:col>
                    <xdr:colOff>381000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>
                <anchor moveWithCells="1">
                  <from>
                    <xdr:col>8</xdr:col>
                    <xdr:colOff>180975</xdr:colOff>
                    <xdr:row>21</xdr:row>
                    <xdr:rowOff>142875</xdr:rowOff>
                  </from>
                  <to>
                    <xdr:col>9</xdr:col>
                    <xdr:colOff>381000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0" name="Check Box 16">
              <controlPr defaultSize="0" autoFill="0" autoLine="0" autoPict="0">
                <anchor moveWithCells="1">
                  <from>
                    <xdr:col>10</xdr:col>
                    <xdr:colOff>457200</xdr:colOff>
                    <xdr:row>14</xdr:row>
                    <xdr:rowOff>19050</xdr:rowOff>
                  </from>
                  <to>
                    <xdr:col>12</xdr:col>
                    <xdr:colOff>47625</xdr:colOff>
                    <xdr:row>15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Check Box 18">
              <controlPr defaultSize="0" autoFill="0" autoLine="0" autoPict="0">
                <anchor moveWithCells="1">
                  <from>
                    <xdr:col>10</xdr:col>
                    <xdr:colOff>457200</xdr:colOff>
                    <xdr:row>15</xdr:row>
                    <xdr:rowOff>161925</xdr:rowOff>
                  </from>
                  <to>
                    <xdr:col>12</xdr:col>
                    <xdr:colOff>47625</xdr:colOff>
                    <xdr:row>16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Check Box 19">
              <controlPr defaultSize="0" autoFill="0" autoLine="0" autoPict="0">
                <anchor moveWithCells="1">
                  <from>
                    <xdr:col>10</xdr:col>
                    <xdr:colOff>466725</xdr:colOff>
                    <xdr:row>17</xdr:row>
                    <xdr:rowOff>180975</xdr:rowOff>
                  </from>
                  <to>
                    <xdr:col>12</xdr:col>
                    <xdr:colOff>57150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Check Box 20">
              <controlPr defaultSize="0" autoFill="0" autoLine="0" autoPict="0">
                <anchor moveWithCells="1">
                  <from>
                    <xdr:col>10</xdr:col>
                    <xdr:colOff>466725</xdr:colOff>
                    <xdr:row>19</xdr:row>
                    <xdr:rowOff>161925</xdr:rowOff>
                  </from>
                  <to>
                    <xdr:col>12</xdr:col>
                    <xdr:colOff>57150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4" name="NumericalDerivativesSelected">
              <controlPr defaultSize="0" autoFill="0" autoPict="0">
                <anchor moveWithCells="1">
                  <from>
                    <xdr:col>16</xdr:col>
                    <xdr:colOff>114300</xdr:colOff>
                    <xdr:row>14</xdr:row>
                    <xdr:rowOff>28575</xdr:rowOff>
                  </from>
                  <to>
                    <xdr:col>18</xdr:col>
                    <xdr:colOff>400050</xdr:colOff>
                    <xdr:row>19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5" name="Option Button 25">
              <controlPr defaultSize="0" autoFill="0" autoLine="0" autoPict="0">
                <anchor moveWithCells="1">
                  <from>
                    <xdr:col>16</xdr:col>
                    <xdr:colOff>314325</xdr:colOff>
                    <xdr:row>15</xdr:row>
                    <xdr:rowOff>76200</xdr:rowOff>
                  </from>
                  <to>
                    <xdr:col>18</xdr:col>
                    <xdr:colOff>76200</xdr:colOff>
                    <xdr:row>16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6" name="Option Button 26">
              <controlPr defaultSize="0" autoFill="0" autoLine="0" autoPict="0">
                <anchor moveWithCells="1">
                  <from>
                    <xdr:col>16</xdr:col>
                    <xdr:colOff>323850</xdr:colOff>
                    <xdr:row>17</xdr:row>
                    <xdr:rowOff>114300</xdr:rowOff>
                  </from>
                  <to>
                    <xdr:col>18</xdr:col>
                    <xdr:colOff>85725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Button 36">
              <controlPr defaultSize="0" print="0" autoFill="0" autoPict="0" macro="[0]!PriceVanillaOption">
                <anchor moveWithCells="1">
                  <from>
                    <xdr:col>10</xdr:col>
                    <xdr:colOff>85725</xdr:colOff>
                    <xdr:row>4</xdr:row>
                    <xdr:rowOff>57150</xdr:rowOff>
                  </from>
                  <to>
                    <xdr:col>11</xdr:col>
                    <xdr:colOff>85725</xdr:colOff>
                    <xdr:row>5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Sheet1</vt:lpstr>
      <vt:lpstr>CallPut</vt:lpstr>
      <vt:lpstr>CallPutLables</vt:lpstr>
      <vt:lpstr>delta</vt:lpstr>
      <vt:lpstr>Dividend_yield</vt:lpstr>
      <vt:lpstr>Expiry</vt:lpstr>
      <vt:lpstr>Expiry_Date</vt:lpstr>
      <vt:lpstr>gamma</vt:lpstr>
      <vt:lpstr>gh</vt:lpstr>
      <vt:lpstr>Interest_rate</vt:lpstr>
      <vt:lpstr>interestrate</vt:lpstr>
      <vt:lpstr>jk</vt:lpstr>
      <vt:lpstr>Notiona</vt:lpstr>
      <vt:lpstr>Notional</vt:lpstr>
      <vt:lpstr>Price</vt:lpstr>
      <vt:lpstr>sd</vt:lpstr>
      <vt:lpstr>Spot</vt:lpstr>
      <vt:lpstr>Strike</vt:lpstr>
      <vt:lpstr>Strike_USD</vt:lpstr>
      <vt:lpstr>vega</vt:lpstr>
      <vt:lpstr>Volatility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2019-02-20T21:47:41Z</dcterms:modified>
</cp:coreProperties>
</file>